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KI-Antigravity_2548\STOFFICE_KI\"/>
    </mc:Choice>
  </mc:AlternateContent>
  <xr:revisionPtr revIDLastSave="0" documentId="13_ncr:1_{192D4C2C-C915-4EA0-9600-F81DDE2840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nblatt1" sheetId="1" r:id="rId1"/>
    <sheet name="Tabelle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" i="1" l="1"/>
  <c r="E25" i="1"/>
  <c r="E24" i="1"/>
  <c r="E21" i="1"/>
  <c r="E18" i="1"/>
  <c r="E7" i="1" l="1"/>
  <c r="E4" i="1"/>
  <c r="E6" i="1"/>
  <c r="E5" i="1"/>
  <c r="H4" i="1" l="1"/>
  <c r="E9" i="1" s="1"/>
  <c r="E20" i="1" s="1"/>
  <c r="G9" i="1" l="1"/>
  <c r="E27" i="1" s="1"/>
  <c r="E30" i="1" s="1"/>
</calcChain>
</file>

<file path=xl/sharedStrings.xml><?xml version="1.0" encoding="utf-8"?>
<sst xmlns="http://schemas.openxmlformats.org/spreadsheetml/2006/main" count="55" uniqueCount="40">
  <si>
    <t>nein</t>
  </si>
  <si>
    <t>Personen</t>
  </si>
  <si>
    <t>Stunden</t>
  </si>
  <si>
    <t>CHF</t>
  </si>
  <si>
    <t>Einsparungspotenzial strukturierte Datenablage anhand eines Digitalen Zwillings</t>
  </si>
  <si>
    <t>Digitaler Zwilling enthält Assets</t>
  </si>
  <si>
    <t>Dokumentation immer aktuell</t>
  </si>
  <si>
    <t>Automatisierte Auftragserstellung</t>
  </si>
  <si>
    <t>Zeit pro Auftragserstellung</t>
  </si>
  <si>
    <t>Minuten</t>
  </si>
  <si>
    <r>
      <t>Kosten/</t>
    </r>
    <r>
      <rPr>
        <b/>
        <sz val="10"/>
        <color theme="7"/>
        <rFont val="Arial"/>
        <family val="2"/>
        <scheme val="minor"/>
      </rPr>
      <t>Einsparungen</t>
    </r>
    <r>
      <rPr>
        <b/>
        <sz val="10"/>
        <color theme="1"/>
        <rFont val="Arial"/>
        <family val="2"/>
        <scheme val="minor"/>
      </rPr>
      <t xml:space="preserve"> pro Jahr</t>
    </r>
  </si>
  <si>
    <t>Aktueller Datenpool</t>
  </si>
  <si>
    <t>Datenpool / Digitaler Zwilling vorhanden</t>
  </si>
  <si>
    <t>Aktuell</t>
  </si>
  <si>
    <t>Stück</t>
  </si>
  <si>
    <t>Generierter Mehrwert</t>
  </si>
  <si>
    <t>Hypothese :</t>
  </si>
  <si>
    <t>Anzahl Arbeitsaufträge / Mitarbeiter / Tag</t>
  </si>
  <si>
    <t>pro Tag</t>
  </si>
  <si>
    <t>Kosten pro Stunden pro Mitarbeiter</t>
  </si>
  <si>
    <t>Aufwand</t>
  </si>
  <si>
    <t>Differenzial Analyse</t>
  </si>
  <si>
    <t>pro Jahr</t>
  </si>
  <si>
    <t>Arbeitstage ABT im Jahr</t>
  </si>
  <si>
    <t>Tage</t>
  </si>
  <si>
    <t>Jahr</t>
  </si>
  <si>
    <t>Hypothese Jahreskosten</t>
  </si>
  <si>
    <t>Einsparpotenzial</t>
  </si>
  <si>
    <t>Restpotenzial</t>
  </si>
  <si>
    <t>Anzahl Mitarbeitende Abteilung Facility Management</t>
  </si>
  <si>
    <t>Anzahl Aufträge Abteilung Facility Management</t>
  </si>
  <si>
    <t>Anzahl Aufträge Abteilung gesammt</t>
  </si>
  <si>
    <t>Aufwand Zeit Abteilung ohne Datenpool</t>
  </si>
  <si>
    <t>Aufwand Kosten Mitarbeitende Abteilung ohne Datenpool</t>
  </si>
  <si>
    <t>Aufwand Kosten Abteilung mit Datenpool</t>
  </si>
  <si>
    <t>Aufwand Kosten Abteilung für Datenpool</t>
  </si>
  <si>
    <t>Aufwand Zeit Abteilung pro Auftrag ohne Datenpool</t>
  </si>
  <si>
    <t>Aufwand Zeit Abteilung pro Auftrag mit Datenpool</t>
  </si>
  <si>
    <t>Durchschnitt</t>
  </si>
  <si>
    <t>auf Hypothese basierend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</si>
</sst>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7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9CB9C"/>
      </patternFill>
    </fill>
    <fill>
      <patternFill patternType="solid">
        <fgColor theme="8"/>
        <bgColor rgb="FFF9CB9C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6" fillId="0" borderId="0" xfId="0" applyFont="1"/>
    <xf numFmtId="164" fontId="5" fillId="0" borderId="0" xfId="0" applyNumberFormat="1" applyFont="1"/>
    <xf numFmtId="3" fontId="2" fillId="0" borderId="0" xfId="0" applyNumberFormat="1" applyFont="1"/>
    <xf numFmtId="0" fontId="2" fillId="4" borderId="0" xfId="0" applyFont="1" applyFill="1"/>
    <xf numFmtId="10" fontId="8" fillId="5" borderId="0" xfId="0" applyNumberFormat="1" applyFont="1" applyFill="1"/>
    <xf numFmtId="0" fontId="1" fillId="6" borderId="0" xfId="0" applyFont="1" applyFill="1"/>
    <xf numFmtId="0" fontId="0" fillId="6" borderId="0" xfId="0" applyFill="1"/>
    <xf numFmtId="0" fontId="7" fillId="6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5" borderId="2" xfId="0" applyFont="1" applyFill="1" applyBorder="1"/>
    <xf numFmtId="0" fontId="1" fillId="0" borderId="3" xfId="0" applyFont="1" applyBorder="1"/>
    <xf numFmtId="0" fontId="1" fillId="0" borderId="0" xfId="0" applyFont="1" applyAlignment="1">
      <alignment horizontal="right"/>
    </xf>
    <xf numFmtId="0" fontId="0" fillId="2" borderId="0" xfId="0" applyFill="1"/>
    <xf numFmtId="0" fontId="7" fillId="0" borderId="3" xfId="0" applyFont="1" applyBorder="1"/>
    <xf numFmtId="4" fontId="0" fillId="2" borderId="0" xfId="0" applyNumberFormat="1" applyFill="1"/>
    <xf numFmtId="0" fontId="7" fillId="0" borderId="4" xfId="0" applyFont="1" applyBorder="1"/>
    <xf numFmtId="0" fontId="0" fillId="0" borderId="5" xfId="0" applyBorder="1"/>
    <xf numFmtId="0" fontId="1" fillId="0" borderId="5" xfId="0" applyFont="1" applyBorder="1" applyAlignment="1">
      <alignment horizontal="right"/>
    </xf>
    <xf numFmtId="0" fontId="0" fillId="2" borderId="5" xfId="0" applyFill="1" applyBorder="1"/>
    <xf numFmtId="0" fontId="4" fillId="0" borderId="5" xfId="0" applyFont="1" applyBorder="1"/>
    <xf numFmtId="9" fontId="2" fillId="0" borderId="7" xfId="0" applyNumberFormat="1" applyFont="1" applyBorder="1"/>
    <xf numFmtId="0" fontId="0" fillId="0" borderId="7" xfId="0" applyBorder="1"/>
    <xf numFmtId="9" fontId="0" fillId="5" borderId="6" xfId="0" applyNumberFormat="1" applyFill="1" applyBorder="1"/>
    <xf numFmtId="0" fontId="0" fillId="0" borderId="8" xfId="0" applyBorder="1"/>
    <xf numFmtId="0" fontId="1" fillId="7" borderId="0" xfId="0" applyFont="1" applyFill="1" applyAlignment="1">
      <alignment horizontal="right"/>
    </xf>
    <xf numFmtId="10" fontId="2" fillId="7" borderId="0" xfId="0" applyNumberFormat="1" applyFont="1" applyFill="1"/>
    <xf numFmtId="0" fontId="1" fillId="7" borderId="6" xfId="0" applyFont="1" applyFill="1" applyBorder="1" applyAlignment="1">
      <alignment horizontal="right"/>
    </xf>
    <xf numFmtId="4" fontId="0" fillId="5" borderId="0" xfId="0" applyNumberFormat="1" applyFill="1"/>
    <xf numFmtId="0" fontId="1" fillId="6" borderId="0" xfId="0" applyFont="1" applyFill="1" applyAlignment="1">
      <alignment horizontal="left"/>
    </xf>
    <xf numFmtId="0" fontId="1" fillId="0" borderId="9" xfId="0" applyFont="1" applyBorder="1"/>
    <xf numFmtId="0" fontId="0" fillId="0" borderId="10" xfId="0" applyBorder="1"/>
    <xf numFmtId="4" fontId="7" fillId="5" borderId="10" xfId="0" applyNumberFormat="1" applyFont="1" applyFill="1" applyBorder="1"/>
    <xf numFmtId="0" fontId="1" fillId="0" borderId="11" xfId="0" applyFont="1" applyBorder="1"/>
    <xf numFmtId="4" fontId="0" fillId="0" borderId="0" xfId="0" applyNumberFormat="1"/>
    <xf numFmtId="0" fontId="2" fillId="6" borderId="0" xfId="0" applyFont="1" applyFill="1"/>
    <xf numFmtId="3" fontId="2" fillId="4" borderId="0" xfId="0" applyNumberFormat="1" applyFont="1" applyFill="1"/>
    <xf numFmtId="3" fontId="0" fillId="0" borderId="0" xfId="0" applyNumberFormat="1"/>
    <xf numFmtId="3" fontId="0" fillId="6" borderId="0" xfId="0" applyNumberFormat="1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C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%22%22@48%20min/auf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H31"/>
  <sheetViews>
    <sheetView tabSelected="1" view="pageLayout" zoomScale="81" zoomScaleNormal="90" zoomScalePageLayoutView="81" workbookViewId="0">
      <selection activeCell="D4" sqref="D4"/>
    </sheetView>
  </sheetViews>
  <sheetFormatPr baseColWidth="10" defaultColWidth="12.7109375" defaultRowHeight="15.75" customHeight="1" x14ac:dyDescent="0.2"/>
  <cols>
    <col min="1" max="1" width="4.42578125" customWidth="1"/>
    <col min="2" max="2" width="46.5703125" customWidth="1"/>
    <col min="3" max="3" width="4.28515625" customWidth="1"/>
    <col min="4" max="4" width="22.28515625" bestFit="1" customWidth="1"/>
    <col min="5" max="5" width="10.85546875" bestFit="1" customWidth="1"/>
    <col min="6" max="6" width="9.28515625" bestFit="1" customWidth="1"/>
    <col min="7" max="7" width="17.140625" bestFit="1" customWidth="1"/>
    <col min="8" max="8" width="14" bestFit="1" customWidth="1"/>
  </cols>
  <sheetData>
    <row r="1" spans="2:8" ht="28.15" customHeight="1" x14ac:dyDescent="0.25">
      <c r="B1" s="10" t="s">
        <v>4</v>
      </c>
    </row>
    <row r="2" spans="2:8" ht="15.75" customHeight="1" thickBot="1" x14ac:dyDescent="0.25"/>
    <row r="3" spans="2:8" ht="12.75" x14ac:dyDescent="0.2">
      <c r="B3" s="15" t="s">
        <v>11</v>
      </c>
      <c r="C3" s="16"/>
      <c r="D3" s="16"/>
      <c r="E3" s="36" t="s">
        <v>13</v>
      </c>
      <c r="F3" s="17"/>
      <c r="G3" s="38" t="s">
        <v>27</v>
      </c>
      <c r="H3" s="17" t="s">
        <v>28</v>
      </c>
    </row>
    <row r="4" spans="2:8" ht="12.75" x14ac:dyDescent="0.2">
      <c r="B4" s="2" t="s">
        <v>12</v>
      </c>
      <c r="D4" s="8" t="s">
        <v>0</v>
      </c>
      <c r="E4" s="37">
        <f>IF(D4="nein",0,G4)</f>
        <v>0</v>
      </c>
      <c r="G4" s="32">
        <v>0.75</v>
      </c>
      <c r="H4" s="14">
        <f>1-E4-E7-E6-E5</f>
        <v>1</v>
      </c>
    </row>
    <row r="5" spans="2:8" ht="12.75" x14ac:dyDescent="0.2">
      <c r="B5" s="2" t="s">
        <v>5</v>
      </c>
      <c r="D5" s="8" t="s">
        <v>0</v>
      </c>
      <c r="E5" s="37">
        <f>IF(D5="nein",0,G5)</f>
        <v>0</v>
      </c>
      <c r="G5" s="32">
        <v>0.1</v>
      </c>
    </row>
    <row r="6" spans="2:8" ht="12.75" x14ac:dyDescent="0.2">
      <c r="B6" s="5" t="s">
        <v>6</v>
      </c>
      <c r="D6" s="8" t="s">
        <v>0</v>
      </c>
      <c r="E6" s="37">
        <f>IF(D6="nein",0,G6)</f>
        <v>0</v>
      </c>
      <c r="G6" s="32">
        <v>0.1</v>
      </c>
    </row>
    <row r="7" spans="2:8" ht="12.75" x14ac:dyDescent="0.2">
      <c r="B7" s="2" t="s">
        <v>7</v>
      </c>
      <c r="D7" s="8" t="s">
        <v>0</v>
      </c>
      <c r="E7" s="37">
        <f>IF(D7="nein",0,G7)</f>
        <v>0</v>
      </c>
      <c r="G7" s="32">
        <v>0.05</v>
      </c>
    </row>
    <row r="8" spans="2:8" ht="15.75" customHeight="1" thickBot="1" x14ac:dyDescent="0.25">
      <c r="G8" s="33"/>
    </row>
    <row r="9" spans="2:8" ht="12.75" x14ac:dyDescent="0.2">
      <c r="B9" s="18" t="s">
        <v>15</v>
      </c>
      <c r="C9" s="19"/>
      <c r="D9" s="20"/>
      <c r="E9" s="21">
        <f>$E$10*H4</f>
        <v>48</v>
      </c>
      <c r="F9" s="19" t="s">
        <v>9</v>
      </c>
      <c r="G9" s="34">
        <f>1-H4</f>
        <v>0</v>
      </c>
    </row>
    <row r="10" spans="2:8" ht="12.75" x14ac:dyDescent="0.2">
      <c r="B10" s="22" t="s">
        <v>8</v>
      </c>
      <c r="D10" s="23" t="s">
        <v>16</v>
      </c>
      <c r="E10" s="24">
        <v>48</v>
      </c>
      <c r="F10" s="5" t="s">
        <v>9</v>
      </c>
      <c r="G10" s="33"/>
    </row>
    <row r="11" spans="2:8" ht="15.75" customHeight="1" x14ac:dyDescent="0.2">
      <c r="B11" s="25" t="s">
        <v>19</v>
      </c>
      <c r="D11" s="23" t="s">
        <v>16</v>
      </c>
      <c r="E11" s="26">
        <v>85</v>
      </c>
      <c r="F11" s="5" t="s">
        <v>3</v>
      </c>
      <c r="G11" s="33"/>
    </row>
    <row r="12" spans="2:8" ht="15.75" customHeight="1" thickBot="1" x14ac:dyDescent="0.25">
      <c r="B12" s="27" t="s">
        <v>23</v>
      </c>
      <c r="C12" s="28"/>
      <c r="D12" s="29" t="s">
        <v>16</v>
      </c>
      <c r="E12" s="30">
        <v>250</v>
      </c>
      <c r="F12" s="31" t="s">
        <v>24</v>
      </c>
      <c r="G12" s="35"/>
    </row>
    <row r="14" spans="2:8" ht="12.75" x14ac:dyDescent="0.2">
      <c r="G14" s="7"/>
    </row>
    <row r="15" spans="2:8" ht="12.75" x14ac:dyDescent="0.2">
      <c r="B15" s="40" t="s">
        <v>20</v>
      </c>
      <c r="C15" s="16"/>
      <c r="D15" s="16"/>
      <c r="E15" s="16"/>
      <c r="F15" s="16"/>
    </row>
    <row r="16" spans="2:8" ht="12.75" x14ac:dyDescent="0.2">
      <c r="B16" s="2" t="s">
        <v>29</v>
      </c>
      <c r="E16" s="9">
        <v>10</v>
      </c>
      <c r="F16" s="2" t="s">
        <v>1</v>
      </c>
      <c r="G16" s="2"/>
      <c r="H16" s="2"/>
    </row>
    <row r="17" spans="2:8" ht="12.75" x14ac:dyDescent="0.2">
      <c r="B17" s="2" t="s">
        <v>30</v>
      </c>
      <c r="D17" s="5" t="s">
        <v>18</v>
      </c>
      <c r="E17" s="9">
        <v>30</v>
      </c>
      <c r="F17" s="2" t="s">
        <v>14</v>
      </c>
      <c r="G17" s="2"/>
      <c r="H17" s="2"/>
    </row>
    <row r="18" spans="2:8" ht="12.75" x14ac:dyDescent="0.2">
      <c r="B18" s="2" t="s">
        <v>17</v>
      </c>
      <c r="D18" s="5" t="s">
        <v>38</v>
      </c>
      <c r="E18" s="13">
        <f>+E17/E16</f>
        <v>3</v>
      </c>
      <c r="F18" s="2" t="s">
        <v>14</v>
      </c>
      <c r="G18" s="2"/>
      <c r="H18" s="2"/>
    </row>
    <row r="19" spans="2:8" ht="12.75" x14ac:dyDescent="0.2">
      <c r="B19" s="2" t="s">
        <v>36</v>
      </c>
      <c r="D19" s="5" t="s">
        <v>39</v>
      </c>
      <c r="E19" s="13">
        <f>+E17*E10/60</f>
        <v>24</v>
      </c>
      <c r="F19" s="2" t="s">
        <v>2</v>
      </c>
      <c r="G19" s="2"/>
      <c r="H19" s="2"/>
    </row>
    <row r="20" spans="2:8" ht="12.75" x14ac:dyDescent="0.2">
      <c r="B20" s="2" t="s">
        <v>37</v>
      </c>
      <c r="D20" s="5"/>
      <c r="E20" s="13">
        <f>+E17*E9/60</f>
        <v>24</v>
      </c>
      <c r="F20" s="2" t="s">
        <v>2</v>
      </c>
      <c r="G20" s="2"/>
      <c r="H20" s="2"/>
    </row>
    <row r="21" spans="2:8" ht="12.75" x14ac:dyDescent="0.2">
      <c r="B21" s="2" t="s">
        <v>31</v>
      </c>
      <c r="E21" s="47">
        <f>+E12*E17</f>
        <v>7500</v>
      </c>
      <c r="F21" s="2" t="s">
        <v>22</v>
      </c>
      <c r="G21" s="2"/>
      <c r="H21" s="2"/>
    </row>
    <row r="22" spans="2:8" ht="12.75" x14ac:dyDescent="0.2">
      <c r="B22" s="2"/>
      <c r="E22" s="48"/>
      <c r="F22" s="2"/>
      <c r="G22" s="3"/>
      <c r="H22" s="2"/>
    </row>
    <row r="23" spans="2:8" ht="12.75" x14ac:dyDescent="0.2">
      <c r="B23" s="15" t="s">
        <v>21</v>
      </c>
      <c r="C23" s="16"/>
      <c r="D23" s="16"/>
      <c r="E23" s="49"/>
      <c r="F23" s="46"/>
      <c r="G23" s="12"/>
      <c r="H23" s="4"/>
    </row>
    <row r="24" spans="2:8" ht="12.75" x14ac:dyDescent="0.2">
      <c r="B24" s="2" t="s">
        <v>32</v>
      </c>
      <c r="D24" s="5" t="s">
        <v>25</v>
      </c>
      <c r="E24" s="50">
        <f>+E21*E10/60</f>
        <v>6000</v>
      </c>
      <c r="F24" s="2" t="s">
        <v>2</v>
      </c>
      <c r="G24" s="12"/>
      <c r="H24" s="4"/>
    </row>
    <row r="25" spans="2:8" ht="12.75" x14ac:dyDescent="0.2">
      <c r="B25" s="2" t="s">
        <v>33</v>
      </c>
      <c r="D25" s="5" t="s">
        <v>25</v>
      </c>
      <c r="E25" s="39">
        <f>+E24*E11</f>
        <v>510000</v>
      </c>
      <c r="F25" s="2" t="s">
        <v>3</v>
      </c>
      <c r="G25" s="12"/>
      <c r="H25" s="4"/>
    </row>
    <row r="26" spans="2:8" ht="12.75" x14ac:dyDescent="0.2">
      <c r="B26" s="1"/>
      <c r="F26" s="2"/>
      <c r="G26" s="12"/>
      <c r="H26" s="4"/>
    </row>
    <row r="27" spans="2:8" ht="12.75" x14ac:dyDescent="0.2">
      <c r="B27" s="2" t="s">
        <v>34</v>
      </c>
      <c r="D27" s="5" t="s">
        <v>25</v>
      </c>
      <c r="E27" s="39">
        <f>E25*G9</f>
        <v>0</v>
      </c>
      <c r="F27" s="2" t="s">
        <v>3</v>
      </c>
    </row>
    <row r="28" spans="2:8" ht="12.75" x14ac:dyDescent="0.2">
      <c r="B28" s="2" t="s">
        <v>35</v>
      </c>
      <c r="D28" s="5" t="s">
        <v>26</v>
      </c>
      <c r="E28" s="39">
        <v>122500</v>
      </c>
      <c r="F28" s="2" t="s">
        <v>3</v>
      </c>
      <c r="G28" s="6"/>
      <c r="H28" s="6"/>
    </row>
    <row r="29" spans="2:8" ht="13.5" thickBot="1" x14ac:dyDescent="0.25">
      <c r="B29" s="1"/>
      <c r="E29" s="45"/>
      <c r="F29" s="1"/>
      <c r="G29" s="6"/>
      <c r="H29" s="7"/>
    </row>
    <row r="30" spans="2:8" ht="13.5" thickBot="1" x14ac:dyDescent="0.25">
      <c r="B30" s="41" t="s">
        <v>10</v>
      </c>
      <c r="C30" s="42"/>
      <c r="D30" s="42"/>
      <c r="E30" s="43">
        <f>E25-E27</f>
        <v>510000</v>
      </c>
      <c r="F30" s="44" t="s">
        <v>3</v>
      </c>
      <c r="G30" s="11"/>
      <c r="H30" s="6"/>
    </row>
    <row r="31" spans="2:8" ht="12.75" x14ac:dyDescent="0.2"/>
  </sheetData>
  <dataValidations disablePrompts="1" count="1">
    <dataValidation type="list" allowBlank="1" showErrorMessage="1" sqref="D4:D7" xr:uid="{00000000-0002-0000-0000-000000000000}">
      <formula1>"ja,nein"</formula1>
    </dataValidation>
  </dataValidations>
  <hyperlinks>
    <hyperlink ref="D19" r:id="rId1" display="&quot;&quot;@48 min/auftr" xr:uid="{41CAC3FA-A164-41C2-8532-1CA9F70EC035}"/>
  </hyperlinks>
  <pageMargins left="0.7" right="0.7" top="0.78740157499999996" bottom="0.78740157499999996" header="0.3" footer="0.3"/>
  <pageSetup paperSize="9" orientation="landscape" r:id="rId2"/>
  <headerFooter>
    <oddHeader xml:space="preserve">&amp;CSTOFFICE
</oddHeader>
    <oddFooter>&amp;LQuelle: Simone Stocker&amp;CDatum: 04.01.2026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5318-791E-4977-B3FB-E7665A260B83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Tabellenblatt1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Doering</cp:lastModifiedBy>
  <dcterms:modified xsi:type="dcterms:W3CDTF">2026-01-05T13:57:17Z</dcterms:modified>
</cp:coreProperties>
</file>